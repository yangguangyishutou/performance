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error_statistics_metho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<sst xmlns="http://schemas.openxmlformats.org/spreadsheetml/2006/main" count="268" uniqueCount="25">
  <si>
    <t>intra-method</t>
  </si>
  <si>
    <t>method-by-method</t>
  </si>
  <si>
    <t>translate_unit</t>
  </si>
  <si>
    <t>ai_name</t>
  </si>
  <si>
    <t>strategy</t>
  </si>
  <si>
    <t>method_count</t>
  </si>
  <si>
    <t>Language Syntax Violation</t>
  </si>
  <si>
    <t>Type Error</t>
  </si>
  <si>
    <t>Declaration Mismatch</t>
  </si>
  <si>
    <t>Undefined Symbols</t>
  </si>
  <si>
    <t>Duplicated Definitions</t>
  </si>
  <si>
    <t>Header File Error</t>
  </si>
  <si>
    <t>Other Errors</t>
  </si>
  <si>
    <t>all</t>
  </si>
  <si>
    <t>CircuitBreakerExecutor</t>
  </si>
  <si>
    <t>qwen-3.5plus</t>
  </si>
  <si>
    <t>class</t>
  </si>
  <si>
    <t>deepseek-v3.2</t>
  </si>
  <si>
    <t>ChatGPT-5.1</t>
  </si>
  <si>
    <t>method</t>
  </si>
  <si>
    <t>Cookie</t>
  </si>
  <si>
    <t>EnableJUnit4MigrationSupport</t>
  </si>
  <si>
    <t>intra-class</t>
  </si>
  <si>
    <t>class-by-class</t>
  </si>
  <si>
    <t>file_count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</si>
</sst>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"/>
  <sheetViews>
    <sheetView tabSelected="1" zoomScale="80" zoomScaleNormal="80" zoomScaleSheetLayoutView="60" topLeftCell="F1" workbookViewId="0">
      <selection activeCell="R23" sqref="R23"/>
    </sheetView>
  </sheetViews>
  <sheetFormatPr defaultColWidth="9.81818181818182" defaultRowHeight="14"/>
  <cols>
    <col min="1" max="1" width="30.6818181818182" customWidth="1"/>
    <col min="2" max="2" width="14.5454545454545" customWidth="1"/>
    <col min="14" max="14" width="34.0909090909091" customWidth="1"/>
    <col min="17" max="17" width="15.3454545454545" customWidth="1"/>
    <col min="18" max="18" width="33.5181818181818" customWidth="1"/>
    <col min="24" max="24" width="15.6818181818182" customWidth="1"/>
  </cols>
  <sheetData>
    <row r="1" spans="1:25">
      <c r="A1" t="s">
        <v>0</v>
      </c>
      <c r="N1" t="s">
        <v>1</v>
      </c>
    </row>
    <row r="2" spans="1: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t="s">
        <v>13</v>
      </c>
    </row>
    <row r="3" spans="1:25">
      <c r="A3" t="s">
        <v>14</v>
      </c>
      <c r="B3" t="s">
        <v>15</v>
      </c>
      <c r="C3" t="s">
        <v>16</v>
      </c>
      <c r="D3">
        <v>83</v>
      </c>
      <c r="E3">
        <v>2</v>
      </c>
      <c r="F3">
        <v>3</v>
      </c>
      <c r="G3">
        <v>0</v>
      </c>
      <c r="H3">
        <v>13</v>
      </c>
      <c r="I3">
        <v>0</v>
      </c>
      <c r="J3">
        <v>3</v>
      </c>
      <c r="K3">
        <v>0</v>
      </c>
      <c r="L3">
        <v>21</v>
      </c>
      <c r="N3" t="s">
        <v>14</v>
      </c>
      <c r="O3" t="s">
        <v>15</v>
      </c>
      <c r="P3" t="s">
        <v>16</v>
      </c>
      <c r="Q3">
        <f>Y3</f>
        <v>248</v>
      </c>
      <c r="R3">
        <v>5</v>
      </c>
      <c r="S3">
        <v>3</v>
      </c>
      <c r="T3">
        <v>0</v>
      </c>
      <c r="U3">
        <v>15</v>
      </c>
      <c r="V3">
        <v>0</v>
      </c>
      <c r="W3">
        <v>16</v>
      </c>
      <c r="X3">
        <v>0</v>
      </c>
      <c r="Y3">
        <f>SUM(R3:W8)</f>
        <v>248</v>
      </c>
    </row>
    <row r="4" spans="1:25">
      <c r="A4" t="s">
        <v>14</v>
      </c>
      <c r="B4" t="s">
        <v>17</v>
      </c>
      <c r="C4" t="s">
        <v>16</v>
      </c>
      <c r="D4">
        <v>83</v>
      </c>
      <c r="E4">
        <v>3</v>
      </c>
      <c r="F4">
        <v>0</v>
      </c>
      <c r="G4">
        <v>0</v>
      </c>
      <c r="H4">
        <v>43</v>
      </c>
      <c r="I4">
        <v>0</v>
      </c>
      <c r="J4">
        <v>7</v>
      </c>
      <c r="K4">
        <v>0</v>
      </c>
      <c r="L4">
        <v>53</v>
      </c>
      <c r="N4" t="s">
        <v>14</v>
      </c>
      <c r="O4" t="s">
        <v>17</v>
      </c>
      <c r="P4" t="s">
        <v>16</v>
      </c>
      <c r="Q4">
        <f t="shared" ref="Q4:Q20" si="0">Y4</f>
        <v>248</v>
      </c>
      <c r="R4">
        <v>7</v>
      </c>
      <c r="S4">
        <v>3</v>
      </c>
      <c r="T4">
        <v>0</v>
      </c>
      <c r="U4">
        <v>12</v>
      </c>
      <c r="V4">
        <v>0</v>
      </c>
      <c r="W4">
        <v>11</v>
      </c>
      <c r="X4">
        <v>0</v>
      </c>
      <c r="Y4">
        <v>248</v>
      </c>
    </row>
    <row r="5" spans="1:25">
      <c r="A5" t="s">
        <v>14</v>
      </c>
      <c r="B5" t="s">
        <v>18</v>
      </c>
      <c r="C5" t="s">
        <v>16</v>
      </c>
      <c r="D5">
        <v>87</v>
      </c>
      <c r="E5">
        <v>2</v>
      </c>
      <c r="F5">
        <v>2</v>
      </c>
      <c r="G5">
        <v>0</v>
      </c>
      <c r="H5">
        <v>46</v>
      </c>
      <c r="I5">
        <v>0</v>
      </c>
      <c r="J5">
        <v>5</v>
      </c>
      <c r="K5">
        <v>0</v>
      </c>
      <c r="L5">
        <v>55</v>
      </c>
      <c r="N5" t="s">
        <v>14</v>
      </c>
      <c r="O5" t="s">
        <v>18</v>
      </c>
      <c r="P5" t="s">
        <v>16</v>
      </c>
      <c r="Q5">
        <f t="shared" si="0"/>
        <v>248</v>
      </c>
      <c r="R5">
        <v>9</v>
      </c>
      <c r="S5">
        <v>2</v>
      </c>
      <c r="T5">
        <v>0</v>
      </c>
      <c r="U5">
        <v>10</v>
      </c>
      <c r="V5">
        <v>0</v>
      </c>
      <c r="W5">
        <v>14</v>
      </c>
      <c r="X5">
        <v>0</v>
      </c>
      <c r="Y5">
        <v>248</v>
      </c>
    </row>
    <row r="6" spans="1:25">
      <c r="A6" t="s">
        <v>14</v>
      </c>
      <c r="B6" t="s">
        <v>15</v>
      </c>
      <c r="C6" t="s">
        <v>19</v>
      </c>
      <c r="D6">
        <v>83</v>
      </c>
      <c r="E6">
        <v>4</v>
      </c>
      <c r="F6">
        <v>7</v>
      </c>
      <c r="G6">
        <v>1</v>
      </c>
      <c r="H6">
        <v>47</v>
      </c>
      <c r="I6">
        <v>0</v>
      </c>
      <c r="J6">
        <v>0</v>
      </c>
      <c r="K6">
        <v>0</v>
      </c>
      <c r="L6">
        <v>59</v>
      </c>
      <c r="N6" t="s">
        <v>14</v>
      </c>
      <c r="O6" t="s">
        <v>15</v>
      </c>
      <c r="P6" t="s">
        <v>19</v>
      </c>
      <c r="Q6">
        <f t="shared" si="0"/>
        <v>248</v>
      </c>
      <c r="R6">
        <v>4</v>
      </c>
      <c r="S6">
        <v>7</v>
      </c>
      <c r="T6">
        <v>1</v>
      </c>
      <c r="U6">
        <v>47</v>
      </c>
      <c r="V6">
        <v>0</v>
      </c>
      <c r="W6">
        <v>0</v>
      </c>
      <c r="X6">
        <v>0</v>
      </c>
      <c r="Y6">
        <v>248</v>
      </c>
    </row>
    <row r="7" spans="1:25">
      <c r="A7" t="s">
        <v>14</v>
      </c>
      <c r="B7" t="s">
        <v>17</v>
      </c>
      <c r="C7" t="s">
        <v>19</v>
      </c>
      <c r="D7">
        <v>83</v>
      </c>
      <c r="E7">
        <v>0</v>
      </c>
      <c r="F7">
        <v>0</v>
      </c>
      <c r="G7">
        <v>0</v>
      </c>
      <c r="H7">
        <v>19</v>
      </c>
      <c r="I7">
        <v>0</v>
      </c>
      <c r="J7">
        <v>0</v>
      </c>
      <c r="K7">
        <v>0</v>
      </c>
      <c r="L7">
        <v>19</v>
      </c>
      <c r="N7" t="s">
        <v>14</v>
      </c>
      <c r="O7" t="s">
        <v>17</v>
      </c>
      <c r="P7" t="s">
        <v>19</v>
      </c>
      <c r="Q7">
        <f t="shared" si="0"/>
        <v>248</v>
      </c>
      <c r="R7">
        <v>0</v>
      </c>
      <c r="S7">
        <v>0</v>
      </c>
      <c r="T7">
        <v>0</v>
      </c>
      <c r="U7">
        <v>19</v>
      </c>
      <c r="V7">
        <v>0</v>
      </c>
      <c r="W7">
        <v>0</v>
      </c>
      <c r="X7">
        <v>0</v>
      </c>
      <c r="Y7">
        <v>248</v>
      </c>
    </row>
    <row r="8" spans="1:25">
      <c r="A8" t="s">
        <v>14</v>
      </c>
      <c r="B8" t="s">
        <v>18</v>
      </c>
      <c r="C8" t="s">
        <v>19</v>
      </c>
      <c r="D8">
        <v>83</v>
      </c>
      <c r="E8">
        <v>0</v>
      </c>
      <c r="F8">
        <v>0</v>
      </c>
      <c r="G8">
        <v>0</v>
      </c>
      <c r="H8">
        <v>49</v>
      </c>
      <c r="I8">
        <v>0</v>
      </c>
      <c r="J8">
        <v>14</v>
      </c>
      <c r="K8">
        <v>0</v>
      </c>
      <c r="L8">
        <v>63</v>
      </c>
      <c r="N8" t="s">
        <v>14</v>
      </c>
      <c r="O8" t="s">
        <v>18</v>
      </c>
      <c r="P8" t="s">
        <v>19</v>
      </c>
      <c r="Q8">
        <f t="shared" si="0"/>
        <v>248</v>
      </c>
      <c r="R8">
        <v>0</v>
      </c>
      <c r="S8">
        <v>0</v>
      </c>
      <c r="T8">
        <v>0</v>
      </c>
      <c r="U8">
        <v>49</v>
      </c>
      <c r="V8">
        <v>0</v>
      </c>
      <c r="W8">
        <v>14</v>
      </c>
      <c r="X8">
        <v>0</v>
      </c>
      <c r="Y8">
        <v>248</v>
      </c>
    </row>
    <row r="9" spans="1:25">
      <c r="A9" t="s">
        <v>20</v>
      </c>
      <c r="B9" t="s">
        <v>15</v>
      </c>
      <c r="C9" t="s">
        <v>16</v>
      </c>
      <c r="D9">
        <v>81</v>
      </c>
      <c r="E9">
        <v>0</v>
      </c>
      <c r="F9">
        <v>4</v>
      </c>
      <c r="G9">
        <v>0</v>
      </c>
      <c r="H9">
        <v>1</v>
      </c>
      <c r="I9">
        <v>0</v>
      </c>
      <c r="J9">
        <v>0</v>
      </c>
      <c r="K9">
        <v>0</v>
      </c>
      <c r="L9">
        <v>5</v>
      </c>
      <c r="N9" t="s">
        <v>20</v>
      </c>
      <c r="O9" t="s">
        <v>15</v>
      </c>
      <c r="P9" t="s">
        <v>16</v>
      </c>
      <c r="Q9">
        <f t="shared" si="0"/>
        <v>46</v>
      </c>
      <c r="R9">
        <v>1</v>
      </c>
      <c r="S9">
        <v>4</v>
      </c>
      <c r="T9">
        <v>0</v>
      </c>
      <c r="U9">
        <v>6</v>
      </c>
      <c r="V9">
        <v>0</v>
      </c>
      <c r="W9">
        <v>2</v>
      </c>
      <c r="X9">
        <v>0</v>
      </c>
      <c r="Y9">
        <f>SUM(R9:W14)</f>
        <v>46</v>
      </c>
    </row>
    <row r="10" spans="1:25">
      <c r="A10" t="s">
        <v>20</v>
      </c>
      <c r="B10" t="s">
        <v>17</v>
      </c>
      <c r="C10" t="s">
        <v>16</v>
      </c>
      <c r="D10">
        <v>78</v>
      </c>
      <c r="E10">
        <v>0</v>
      </c>
      <c r="F10">
        <v>6</v>
      </c>
      <c r="G10">
        <v>1</v>
      </c>
      <c r="H10">
        <v>1</v>
      </c>
      <c r="I10">
        <v>8</v>
      </c>
      <c r="J10">
        <v>0</v>
      </c>
      <c r="K10">
        <v>0</v>
      </c>
      <c r="L10">
        <v>16</v>
      </c>
      <c r="N10" t="s">
        <v>20</v>
      </c>
      <c r="O10" t="s">
        <v>17</v>
      </c>
      <c r="P10" t="s">
        <v>16</v>
      </c>
      <c r="Q10">
        <f t="shared" si="0"/>
        <v>46</v>
      </c>
      <c r="R10">
        <v>0</v>
      </c>
      <c r="S10">
        <v>1</v>
      </c>
      <c r="T10">
        <v>0</v>
      </c>
      <c r="U10">
        <v>2</v>
      </c>
      <c r="V10">
        <v>0</v>
      </c>
      <c r="W10">
        <v>3</v>
      </c>
      <c r="X10">
        <v>0</v>
      </c>
      <c r="Y10">
        <v>46</v>
      </c>
    </row>
    <row r="11" spans="1:25">
      <c r="A11" t="s">
        <v>20</v>
      </c>
      <c r="B11" t="s">
        <v>18</v>
      </c>
      <c r="C11" t="s">
        <v>16</v>
      </c>
      <c r="D11">
        <v>79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N11" t="s">
        <v>20</v>
      </c>
      <c r="O11" t="s">
        <v>18</v>
      </c>
      <c r="P11" t="s">
        <v>16</v>
      </c>
      <c r="Q11">
        <f t="shared" si="0"/>
        <v>46</v>
      </c>
      <c r="R11">
        <v>0</v>
      </c>
      <c r="S11">
        <v>3</v>
      </c>
      <c r="T11">
        <v>0</v>
      </c>
      <c r="U11">
        <v>1</v>
      </c>
      <c r="V11">
        <v>0</v>
      </c>
      <c r="W11">
        <v>3</v>
      </c>
      <c r="X11">
        <v>0</v>
      </c>
      <c r="Y11">
        <v>46</v>
      </c>
    </row>
    <row r="12" spans="1:25">
      <c r="A12" t="s">
        <v>20</v>
      </c>
      <c r="B12" t="s">
        <v>15</v>
      </c>
      <c r="C12" t="s">
        <v>19</v>
      </c>
      <c r="D12">
        <v>79</v>
      </c>
      <c r="E12">
        <v>0</v>
      </c>
      <c r="F12">
        <v>8</v>
      </c>
      <c r="G12">
        <v>0</v>
      </c>
      <c r="H12">
        <v>0</v>
      </c>
      <c r="I12">
        <v>0</v>
      </c>
      <c r="J12">
        <v>0</v>
      </c>
      <c r="K12">
        <v>0</v>
      </c>
      <c r="L12">
        <v>8</v>
      </c>
      <c r="N12" t="s">
        <v>20</v>
      </c>
      <c r="O12" t="s">
        <v>15</v>
      </c>
      <c r="P12" t="s">
        <v>19</v>
      </c>
      <c r="Q12">
        <f t="shared" si="0"/>
        <v>46</v>
      </c>
      <c r="R12">
        <v>0</v>
      </c>
      <c r="S12">
        <v>8</v>
      </c>
      <c r="T12">
        <v>0</v>
      </c>
      <c r="U12">
        <v>0</v>
      </c>
      <c r="V12">
        <v>0</v>
      </c>
      <c r="W12">
        <v>0</v>
      </c>
      <c r="X12">
        <v>0</v>
      </c>
      <c r="Y12">
        <v>46</v>
      </c>
    </row>
    <row r="13" spans="1:25">
      <c r="A13" t="s">
        <v>20</v>
      </c>
      <c r="B13" t="s">
        <v>17</v>
      </c>
      <c r="C13" t="s">
        <v>19</v>
      </c>
      <c r="D13">
        <v>78</v>
      </c>
      <c r="E13">
        <v>0</v>
      </c>
      <c r="F13">
        <v>2</v>
      </c>
      <c r="G13">
        <v>0</v>
      </c>
      <c r="H13">
        <v>2</v>
      </c>
      <c r="I13">
        <v>0</v>
      </c>
      <c r="J13">
        <v>0</v>
      </c>
      <c r="K13">
        <v>0</v>
      </c>
      <c r="L13">
        <v>4</v>
      </c>
      <c r="N13" t="s">
        <v>20</v>
      </c>
      <c r="O13" t="s">
        <v>17</v>
      </c>
      <c r="P13" t="s">
        <v>19</v>
      </c>
      <c r="Q13">
        <f t="shared" si="0"/>
        <v>46</v>
      </c>
      <c r="R13">
        <v>0</v>
      </c>
      <c r="S13">
        <v>2</v>
      </c>
      <c r="T13">
        <v>0</v>
      </c>
      <c r="U13">
        <v>2</v>
      </c>
      <c r="V13">
        <v>0</v>
      </c>
      <c r="W13">
        <v>0</v>
      </c>
      <c r="X13">
        <v>0</v>
      </c>
      <c r="Y13">
        <v>46</v>
      </c>
    </row>
    <row r="14" spans="1:25">
      <c r="A14" t="s">
        <v>20</v>
      </c>
      <c r="B14" t="s">
        <v>18</v>
      </c>
      <c r="C14" t="s">
        <v>19</v>
      </c>
      <c r="D14">
        <v>78</v>
      </c>
      <c r="E14">
        <v>0</v>
      </c>
      <c r="F14">
        <v>6</v>
      </c>
      <c r="G14">
        <v>0</v>
      </c>
      <c r="H14">
        <v>2</v>
      </c>
      <c r="I14">
        <v>0</v>
      </c>
      <c r="J14">
        <v>0</v>
      </c>
      <c r="K14">
        <v>0</v>
      </c>
      <c r="L14">
        <v>8</v>
      </c>
      <c r="N14" t="s">
        <v>20</v>
      </c>
      <c r="O14" t="s">
        <v>18</v>
      </c>
      <c r="P14" t="s">
        <v>19</v>
      </c>
      <c r="Q14">
        <f t="shared" si="0"/>
        <v>46</v>
      </c>
      <c r="R14">
        <v>0</v>
      </c>
      <c r="S14">
        <v>6</v>
      </c>
      <c r="T14">
        <v>0</v>
      </c>
      <c r="U14">
        <v>2</v>
      </c>
      <c r="V14">
        <v>0</v>
      </c>
      <c r="W14">
        <v>0</v>
      </c>
      <c r="X14">
        <v>0</v>
      </c>
      <c r="Y14">
        <v>46</v>
      </c>
    </row>
    <row r="15" spans="1:25">
      <c r="A15" t="s">
        <v>21</v>
      </c>
      <c r="B15" t="s">
        <v>15</v>
      </c>
      <c r="C15" t="s">
        <v>16</v>
      </c>
      <c r="D15">
        <v>157</v>
      </c>
      <c r="E15">
        <v>2</v>
      </c>
      <c r="F15">
        <v>11</v>
      </c>
      <c r="G15">
        <v>0</v>
      </c>
      <c r="H15">
        <v>17</v>
      </c>
      <c r="I15">
        <v>7</v>
      </c>
      <c r="J15">
        <v>0</v>
      </c>
      <c r="K15">
        <v>0</v>
      </c>
      <c r="L15">
        <v>37</v>
      </c>
      <c r="N15" t="s">
        <v>21</v>
      </c>
      <c r="O15" t="s">
        <v>15</v>
      </c>
      <c r="P15" t="s">
        <v>16</v>
      </c>
      <c r="Q15">
        <f t="shared" si="0"/>
        <v>265</v>
      </c>
      <c r="R15">
        <v>5</v>
      </c>
      <c r="S15">
        <v>11</v>
      </c>
      <c r="T15">
        <v>1</v>
      </c>
      <c r="U15">
        <v>18</v>
      </c>
      <c r="V15">
        <v>2</v>
      </c>
      <c r="W15">
        <v>17</v>
      </c>
      <c r="X15">
        <v>0</v>
      </c>
      <c r="Y15">
        <f>SUM(R15:W20)</f>
        <v>265</v>
      </c>
    </row>
    <row r="16" spans="1:25">
      <c r="A16" t="s">
        <v>21</v>
      </c>
      <c r="B16" t="s">
        <v>17</v>
      </c>
      <c r="C16" t="s">
        <v>16</v>
      </c>
      <c r="D16">
        <v>164</v>
      </c>
      <c r="E16">
        <v>2</v>
      </c>
      <c r="F16">
        <v>13</v>
      </c>
      <c r="G16">
        <v>0</v>
      </c>
      <c r="H16">
        <v>2</v>
      </c>
      <c r="I16">
        <v>0</v>
      </c>
      <c r="J16">
        <v>0</v>
      </c>
      <c r="K16">
        <v>0</v>
      </c>
      <c r="L16">
        <v>17</v>
      </c>
      <c r="N16" t="s">
        <v>21</v>
      </c>
      <c r="O16" t="s">
        <v>17</v>
      </c>
      <c r="P16" t="s">
        <v>16</v>
      </c>
      <c r="Q16">
        <f t="shared" si="0"/>
        <v>265</v>
      </c>
      <c r="R16">
        <v>4</v>
      </c>
      <c r="S16">
        <v>11</v>
      </c>
      <c r="T16">
        <v>0</v>
      </c>
      <c r="U16">
        <v>11</v>
      </c>
      <c r="V16">
        <v>2</v>
      </c>
      <c r="W16">
        <v>13</v>
      </c>
      <c r="X16">
        <v>1</v>
      </c>
      <c r="Y16">
        <v>265</v>
      </c>
    </row>
    <row r="17" spans="1:25">
      <c r="A17" t="s">
        <v>21</v>
      </c>
      <c r="B17" t="s">
        <v>18</v>
      </c>
      <c r="C17" t="s">
        <v>16</v>
      </c>
      <c r="D17">
        <v>153</v>
      </c>
      <c r="E17">
        <v>5</v>
      </c>
      <c r="F17">
        <v>5</v>
      </c>
      <c r="G17">
        <v>0</v>
      </c>
      <c r="H17">
        <v>9</v>
      </c>
      <c r="I17">
        <v>0</v>
      </c>
      <c r="J17">
        <v>0</v>
      </c>
      <c r="K17">
        <v>0</v>
      </c>
      <c r="L17">
        <v>19</v>
      </c>
      <c r="N17" t="s">
        <v>21</v>
      </c>
      <c r="O17" t="s">
        <v>18</v>
      </c>
      <c r="P17" t="s">
        <v>16</v>
      </c>
      <c r="Q17">
        <f t="shared" si="0"/>
        <v>265</v>
      </c>
      <c r="R17">
        <v>8</v>
      </c>
      <c r="S17">
        <v>12</v>
      </c>
      <c r="T17">
        <v>0</v>
      </c>
      <c r="U17">
        <v>15</v>
      </c>
      <c r="V17">
        <v>3</v>
      </c>
      <c r="W17">
        <v>11</v>
      </c>
      <c r="X17">
        <v>0</v>
      </c>
      <c r="Y17">
        <v>265</v>
      </c>
    </row>
    <row r="18" spans="1:25">
      <c r="A18" t="s">
        <v>21</v>
      </c>
      <c r="B18" t="s">
        <v>15</v>
      </c>
      <c r="C18" t="s">
        <v>19</v>
      </c>
      <c r="D18">
        <v>164</v>
      </c>
      <c r="E18">
        <v>8</v>
      </c>
      <c r="F18">
        <v>14</v>
      </c>
      <c r="G18">
        <v>0</v>
      </c>
      <c r="H18">
        <v>11</v>
      </c>
      <c r="I18">
        <v>7</v>
      </c>
      <c r="J18">
        <v>0</v>
      </c>
      <c r="K18">
        <v>0</v>
      </c>
      <c r="L18">
        <v>40</v>
      </c>
      <c r="N18" t="s">
        <v>21</v>
      </c>
      <c r="O18" t="s">
        <v>15</v>
      </c>
      <c r="P18" t="s">
        <v>19</v>
      </c>
      <c r="Q18">
        <f t="shared" si="0"/>
        <v>265</v>
      </c>
      <c r="R18">
        <v>8</v>
      </c>
      <c r="S18">
        <v>14</v>
      </c>
      <c r="T18">
        <v>0</v>
      </c>
      <c r="U18">
        <v>11</v>
      </c>
      <c r="V18">
        <v>7</v>
      </c>
      <c r="W18">
        <v>0</v>
      </c>
      <c r="X18">
        <v>0</v>
      </c>
      <c r="Y18">
        <v>265</v>
      </c>
    </row>
    <row r="19" spans="1:25">
      <c r="A19" t="s">
        <v>21</v>
      </c>
      <c r="B19" t="s">
        <v>17</v>
      </c>
      <c r="C19" t="s">
        <v>19</v>
      </c>
      <c r="D19">
        <v>124</v>
      </c>
      <c r="E19">
        <v>6</v>
      </c>
      <c r="F19">
        <v>16</v>
      </c>
      <c r="G19">
        <v>0</v>
      </c>
      <c r="H19">
        <v>30</v>
      </c>
      <c r="I19">
        <v>0</v>
      </c>
      <c r="J19">
        <v>0</v>
      </c>
      <c r="K19">
        <v>0</v>
      </c>
      <c r="L19">
        <v>52</v>
      </c>
      <c r="N19" t="s">
        <v>21</v>
      </c>
      <c r="O19" t="s">
        <v>17</v>
      </c>
      <c r="P19" t="s">
        <v>19</v>
      </c>
      <c r="Q19">
        <f t="shared" si="0"/>
        <v>265</v>
      </c>
      <c r="R19">
        <v>6</v>
      </c>
      <c r="S19">
        <v>16</v>
      </c>
      <c r="T19">
        <v>0</v>
      </c>
      <c r="U19">
        <v>30</v>
      </c>
      <c r="V19">
        <v>0</v>
      </c>
      <c r="W19">
        <v>0</v>
      </c>
      <c r="X19">
        <v>0</v>
      </c>
      <c r="Y19">
        <v>265</v>
      </c>
    </row>
    <row r="20" spans="1:25">
      <c r="A20" t="s">
        <v>21</v>
      </c>
      <c r="B20" t="s">
        <v>18</v>
      </c>
      <c r="C20" t="s">
        <v>19</v>
      </c>
      <c r="D20">
        <v>132</v>
      </c>
      <c r="E20">
        <v>6</v>
      </c>
      <c r="F20">
        <v>7</v>
      </c>
      <c r="G20">
        <v>0</v>
      </c>
      <c r="H20">
        <v>9</v>
      </c>
      <c r="I20">
        <v>7</v>
      </c>
      <c r="J20">
        <v>0</v>
      </c>
      <c r="K20">
        <v>0</v>
      </c>
      <c r="L20">
        <v>29</v>
      </c>
      <c r="N20" t="s">
        <v>21</v>
      </c>
      <c r="O20" t="s">
        <v>18</v>
      </c>
      <c r="P20" t="s">
        <v>19</v>
      </c>
      <c r="Q20">
        <f t="shared" si="0"/>
        <v>265</v>
      </c>
      <c r="R20">
        <v>6</v>
      </c>
      <c r="S20">
        <v>7</v>
      </c>
      <c r="T20">
        <v>0</v>
      </c>
      <c r="U20">
        <v>9</v>
      </c>
      <c r="V20">
        <v>7</v>
      </c>
      <c r="W20">
        <v>0</v>
      </c>
      <c r="X20">
        <v>0</v>
      </c>
      <c r="Y20">
        <v>265</v>
      </c>
    </row>
    <row r="21" spans="1:25">
      <c r="A21" t="s">
        <v>22</v>
      </c>
      <c r="N21" t="s">
        <v>23</v>
      </c>
    </row>
    <row r="22" spans="1:25">
      <c r="A22" t="s">
        <v>2</v>
      </c>
      <c r="B22" t="s">
        <v>3</v>
      </c>
      <c r="C22" t="s">
        <v>4</v>
      </c>
      <c r="D22" t="s">
        <v>24</v>
      </c>
      <c r="E22" t="s">
        <v>6</v>
      </c>
      <c r="F22" t="s">
        <v>7</v>
      </c>
      <c r="G22" t="s">
        <v>8</v>
      </c>
      <c r="H22" t="s">
        <v>9</v>
      </c>
      <c r="I22" t="s">
        <v>10</v>
      </c>
      <c r="J22" t="s">
        <v>11</v>
      </c>
      <c r="K22" t="s">
        <v>12</v>
      </c>
      <c r="L22" t="s">
        <v>13</v>
      </c>
      <c r="N22" t="s">
        <v>2</v>
      </c>
      <c r="O22" t="s">
        <v>3</v>
      </c>
      <c r="P22" t="s">
        <v>4</v>
      </c>
      <c r="Q22" t="s">
        <v>24</v>
      </c>
      <c r="R22" t="s">
        <v>6</v>
      </c>
      <c r="S22" t="s">
        <v>7</v>
      </c>
      <c r="T22" t="s">
        <v>8</v>
      </c>
      <c r="U22" t="s">
        <v>9</v>
      </c>
      <c r="V22" t="s">
        <v>10</v>
      </c>
      <c r="W22" t="s">
        <v>11</v>
      </c>
      <c r="X22" t="s">
        <v>12</v>
      </c>
      <c r="Y22" t="s">
        <v>13</v>
      </c>
    </row>
    <row r="23" spans="1:25">
      <c r="A23" t="s">
        <v>14</v>
      </c>
      <c r="B23" t="s">
        <v>15</v>
      </c>
      <c r="C23" t="s">
        <v>16</v>
      </c>
      <c r="D23">
        <v>13</v>
      </c>
      <c r="E23">
        <v>6</v>
      </c>
      <c r="F23">
        <v>2</v>
      </c>
      <c r="G23">
        <v>0</v>
      </c>
      <c r="H23">
        <v>9</v>
      </c>
      <c r="I23">
        <v>0</v>
      </c>
      <c r="J23">
        <v>14</v>
      </c>
      <c r="K23">
        <v>1</v>
      </c>
      <c r="L23">
        <v>32</v>
      </c>
      <c r="N23" t="s">
        <v>14</v>
      </c>
      <c r="O23" t="s">
        <v>15</v>
      </c>
      <c r="P23" t="s">
        <v>16</v>
      </c>
      <c r="Q23">
        <f>Y23</f>
        <v>231</v>
      </c>
      <c r="R23">
        <v>6</v>
      </c>
      <c r="S23">
        <v>2</v>
      </c>
      <c r="T23">
        <v>0</v>
      </c>
      <c r="U23">
        <v>9</v>
      </c>
      <c r="V23">
        <v>0</v>
      </c>
      <c r="W23">
        <v>14</v>
      </c>
      <c r="X23">
        <v>1</v>
      </c>
      <c r="Y23">
        <f>SUM(R23:W28)</f>
        <v>231</v>
      </c>
    </row>
    <row r="24" spans="1:25">
      <c r="A24" t="s">
        <v>14</v>
      </c>
      <c r="B24" t="s">
        <v>17</v>
      </c>
      <c r="C24" t="s">
        <v>16</v>
      </c>
      <c r="D24">
        <v>13</v>
      </c>
      <c r="E24">
        <v>3</v>
      </c>
      <c r="F24">
        <v>4</v>
      </c>
      <c r="G24">
        <v>0</v>
      </c>
      <c r="H24">
        <v>14</v>
      </c>
      <c r="I24">
        <v>0</v>
      </c>
      <c r="J24">
        <v>13</v>
      </c>
      <c r="K24">
        <v>2</v>
      </c>
      <c r="L24">
        <v>36</v>
      </c>
      <c r="N24" t="s">
        <v>14</v>
      </c>
      <c r="O24" t="s">
        <v>17</v>
      </c>
      <c r="P24" t="s">
        <v>16</v>
      </c>
      <c r="Q24">
        <f t="shared" ref="Q24:Q40" si="1">Y24</f>
        <v>231</v>
      </c>
      <c r="R24">
        <v>3</v>
      </c>
      <c r="S24">
        <v>4</v>
      </c>
      <c r="T24">
        <v>0</v>
      </c>
      <c r="U24">
        <v>14</v>
      </c>
      <c r="V24">
        <v>0</v>
      </c>
      <c r="W24">
        <v>13</v>
      </c>
      <c r="X24">
        <v>2</v>
      </c>
      <c r="Y24">
        <v>231</v>
      </c>
    </row>
    <row r="25" spans="1:25">
      <c r="A25" t="s">
        <v>14</v>
      </c>
      <c r="B25" t="s">
        <v>18</v>
      </c>
      <c r="C25" t="s">
        <v>16</v>
      </c>
      <c r="D25">
        <v>13</v>
      </c>
      <c r="E25">
        <v>5</v>
      </c>
      <c r="F25">
        <v>2</v>
      </c>
      <c r="G25">
        <v>1</v>
      </c>
      <c r="H25">
        <v>15</v>
      </c>
      <c r="I25">
        <v>2</v>
      </c>
      <c r="J25">
        <v>12</v>
      </c>
      <c r="K25">
        <v>0</v>
      </c>
      <c r="L25">
        <v>37</v>
      </c>
      <c r="N25" t="s">
        <v>14</v>
      </c>
      <c r="O25" t="s">
        <v>18</v>
      </c>
      <c r="P25" t="s">
        <v>16</v>
      </c>
      <c r="Q25">
        <f t="shared" si="1"/>
        <v>231</v>
      </c>
      <c r="R25">
        <v>5</v>
      </c>
      <c r="S25">
        <v>2</v>
      </c>
      <c r="T25">
        <v>1</v>
      </c>
      <c r="U25">
        <v>15</v>
      </c>
      <c r="V25">
        <v>2</v>
      </c>
      <c r="W25">
        <v>12</v>
      </c>
      <c r="X25">
        <v>0</v>
      </c>
      <c r="Y25">
        <v>231</v>
      </c>
    </row>
    <row r="26" spans="1:25">
      <c r="A26" t="s">
        <v>14</v>
      </c>
      <c r="B26" t="s">
        <v>15</v>
      </c>
      <c r="C26" t="s">
        <v>19</v>
      </c>
      <c r="D26">
        <v>13</v>
      </c>
      <c r="E26">
        <v>5</v>
      </c>
      <c r="F26">
        <v>3</v>
      </c>
      <c r="G26">
        <v>0</v>
      </c>
      <c r="H26">
        <v>15</v>
      </c>
      <c r="I26">
        <v>0</v>
      </c>
      <c r="J26">
        <v>16</v>
      </c>
      <c r="K26">
        <v>0</v>
      </c>
      <c r="L26">
        <v>39</v>
      </c>
      <c r="N26" t="s">
        <v>14</v>
      </c>
      <c r="O26" t="s">
        <v>15</v>
      </c>
      <c r="P26" t="s">
        <v>19</v>
      </c>
      <c r="Q26">
        <f t="shared" si="1"/>
        <v>231</v>
      </c>
      <c r="R26">
        <v>2</v>
      </c>
      <c r="S26">
        <v>3</v>
      </c>
      <c r="T26">
        <v>0</v>
      </c>
      <c r="U26">
        <v>13</v>
      </c>
      <c r="V26">
        <v>0</v>
      </c>
      <c r="W26">
        <v>3</v>
      </c>
      <c r="X26">
        <v>0</v>
      </c>
      <c r="Y26">
        <v>231</v>
      </c>
    </row>
    <row r="27" spans="1:25">
      <c r="A27" t="s">
        <v>14</v>
      </c>
      <c r="B27" t="s">
        <v>17</v>
      </c>
      <c r="C27" t="s">
        <v>19</v>
      </c>
      <c r="D27">
        <v>13</v>
      </c>
      <c r="E27">
        <v>7</v>
      </c>
      <c r="F27">
        <v>3</v>
      </c>
      <c r="G27">
        <v>0</v>
      </c>
      <c r="H27">
        <v>12</v>
      </c>
      <c r="I27">
        <v>0</v>
      </c>
      <c r="J27">
        <v>11</v>
      </c>
      <c r="K27">
        <v>0</v>
      </c>
      <c r="L27">
        <v>33</v>
      </c>
      <c r="N27" t="s">
        <v>14</v>
      </c>
      <c r="O27" t="s">
        <v>17</v>
      </c>
      <c r="P27" t="s">
        <v>19</v>
      </c>
      <c r="Q27">
        <f t="shared" si="1"/>
        <v>231</v>
      </c>
      <c r="R27">
        <v>3</v>
      </c>
      <c r="S27">
        <v>0</v>
      </c>
      <c r="T27">
        <v>0</v>
      </c>
      <c r="U27">
        <v>43</v>
      </c>
      <c r="V27">
        <v>0</v>
      </c>
      <c r="W27">
        <v>7</v>
      </c>
      <c r="X27">
        <v>0</v>
      </c>
      <c r="Y27">
        <v>231</v>
      </c>
    </row>
    <row r="28" spans="1:25">
      <c r="A28" t="s">
        <v>14</v>
      </c>
      <c r="B28" t="s">
        <v>18</v>
      </c>
      <c r="C28" t="s">
        <v>19</v>
      </c>
      <c r="D28">
        <v>13</v>
      </c>
      <c r="E28">
        <v>9</v>
      </c>
      <c r="F28">
        <v>2</v>
      </c>
      <c r="G28">
        <v>0</v>
      </c>
      <c r="H28">
        <v>10</v>
      </c>
      <c r="I28">
        <v>0</v>
      </c>
      <c r="J28">
        <v>14</v>
      </c>
      <c r="K28">
        <v>0</v>
      </c>
      <c r="L28">
        <v>35</v>
      </c>
      <c r="N28" t="s">
        <v>14</v>
      </c>
      <c r="O28" t="s">
        <v>18</v>
      </c>
      <c r="P28" t="s">
        <v>19</v>
      </c>
      <c r="Q28">
        <f t="shared" si="1"/>
        <v>231</v>
      </c>
      <c r="R28">
        <v>2</v>
      </c>
      <c r="S28">
        <v>2</v>
      </c>
      <c r="T28">
        <v>0</v>
      </c>
      <c r="U28">
        <v>46</v>
      </c>
      <c r="V28">
        <v>0</v>
      </c>
      <c r="W28">
        <v>5</v>
      </c>
      <c r="X28">
        <v>0</v>
      </c>
      <c r="Y28">
        <v>231</v>
      </c>
    </row>
    <row r="29" spans="1:25">
      <c r="A29" t="s">
        <v>20</v>
      </c>
      <c r="B29" t="s">
        <v>15</v>
      </c>
      <c r="C29" t="s">
        <v>16</v>
      </c>
      <c r="D29">
        <v>7</v>
      </c>
      <c r="E29">
        <v>1</v>
      </c>
      <c r="F29">
        <v>2</v>
      </c>
      <c r="G29">
        <v>0</v>
      </c>
      <c r="H29">
        <v>2</v>
      </c>
      <c r="I29">
        <v>0</v>
      </c>
      <c r="J29">
        <v>5</v>
      </c>
      <c r="K29">
        <v>0</v>
      </c>
      <c r="L29">
        <v>10</v>
      </c>
      <c r="N29" t="s">
        <v>20</v>
      </c>
      <c r="O29" t="s">
        <v>15</v>
      </c>
      <c r="P29" t="s">
        <v>16</v>
      </c>
      <c r="Q29">
        <f t="shared" si="1"/>
        <v>54</v>
      </c>
      <c r="R29">
        <v>1</v>
      </c>
      <c r="S29">
        <v>2</v>
      </c>
      <c r="T29">
        <v>0</v>
      </c>
      <c r="U29">
        <v>2</v>
      </c>
      <c r="V29">
        <v>0</v>
      </c>
      <c r="W29">
        <v>5</v>
      </c>
      <c r="X29">
        <v>0</v>
      </c>
      <c r="Y29">
        <f>SUM(R29:W34)</f>
        <v>54</v>
      </c>
    </row>
    <row r="30" spans="1:25">
      <c r="A30" t="s">
        <v>20</v>
      </c>
      <c r="B30" t="s">
        <v>17</v>
      </c>
      <c r="C30" t="s">
        <v>16</v>
      </c>
      <c r="D30">
        <v>7</v>
      </c>
      <c r="E30">
        <v>2</v>
      </c>
      <c r="F30">
        <v>1</v>
      </c>
      <c r="G30">
        <v>0</v>
      </c>
      <c r="H30">
        <v>4</v>
      </c>
      <c r="I30">
        <v>1</v>
      </c>
      <c r="J30">
        <v>2</v>
      </c>
      <c r="K30">
        <v>0</v>
      </c>
      <c r="L30">
        <v>10</v>
      </c>
      <c r="N30" t="s">
        <v>20</v>
      </c>
      <c r="O30" t="s">
        <v>17</v>
      </c>
      <c r="P30" t="s">
        <v>16</v>
      </c>
      <c r="Q30">
        <f t="shared" si="1"/>
        <v>54</v>
      </c>
      <c r="R30">
        <v>2</v>
      </c>
      <c r="S30">
        <v>1</v>
      </c>
      <c r="T30">
        <v>0</v>
      </c>
      <c r="U30">
        <v>4</v>
      </c>
      <c r="V30">
        <v>1</v>
      </c>
      <c r="W30">
        <v>2</v>
      </c>
      <c r="X30">
        <v>0</v>
      </c>
      <c r="Y30">
        <v>54</v>
      </c>
    </row>
    <row r="31" spans="1:25">
      <c r="A31" t="s">
        <v>20</v>
      </c>
      <c r="B31" t="s">
        <v>18</v>
      </c>
      <c r="C31" t="s">
        <v>16</v>
      </c>
      <c r="D31">
        <v>7</v>
      </c>
      <c r="E31">
        <v>0</v>
      </c>
      <c r="F31">
        <v>3</v>
      </c>
      <c r="G31">
        <v>0</v>
      </c>
      <c r="H31">
        <v>4</v>
      </c>
      <c r="I31">
        <v>0</v>
      </c>
      <c r="J31">
        <v>4</v>
      </c>
      <c r="K31">
        <v>0</v>
      </c>
      <c r="L31">
        <v>11</v>
      </c>
      <c r="N31" t="s">
        <v>20</v>
      </c>
      <c r="O31" t="s">
        <v>18</v>
      </c>
      <c r="P31" t="s">
        <v>16</v>
      </c>
      <c r="Q31">
        <f t="shared" si="1"/>
        <v>54</v>
      </c>
      <c r="R31">
        <v>0</v>
      </c>
      <c r="S31">
        <v>3</v>
      </c>
      <c r="T31">
        <v>0</v>
      </c>
      <c r="U31">
        <v>4</v>
      </c>
      <c r="V31">
        <v>0</v>
      </c>
      <c r="W31">
        <v>4</v>
      </c>
      <c r="X31">
        <v>0</v>
      </c>
      <c r="Y31">
        <v>54</v>
      </c>
    </row>
    <row r="32" spans="1:25">
      <c r="A32" t="s">
        <v>20</v>
      </c>
      <c r="B32" t="s">
        <v>15</v>
      </c>
      <c r="C32" t="s">
        <v>19</v>
      </c>
      <c r="D32">
        <v>7</v>
      </c>
      <c r="E32">
        <v>1</v>
      </c>
      <c r="F32">
        <v>4</v>
      </c>
      <c r="G32">
        <v>0</v>
      </c>
      <c r="H32">
        <v>6</v>
      </c>
      <c r="I32">
        <v>0</v>
      </c>
      <c r="J32">
        <v>2</v>
      </c>
      <c r="K32">
        <v>0</v>
      </c>
      <c r="L32">
        <v>13</v>
      </c>
      <c r="N32" t="s">
        <v>20</v>
      </c>
      <c r="O32" t="s">
        <v>15</v>
      </c>
      <c r="P32" t="s">
        <v>19</v>
      </c>
      <c r="Q32">
        <f t="shared" si="1"/>
        <v>54</v>
      </c>
      <c r="R32">
        <v>0</v>
      </c>
      <c r="S32">
        <v>4</v>
      </c>
      <c r="T32">
        <v>0</v>
      </c>
      <c r="U32">
        <v>1</v>
      </c>
      <c r="V32">
        <v>0</v>
      </c>
      <c r="W32">
        <v>0</v>
      </c>
      <c r="X32">
        <v>0</v>
      </c>
      <c r="Y32">
        <v>54</v>
      </c>
    </row>
    <row r="33" spans="1:25">
      <c r="A33" t="s">
        <v>20</v>
      </c>
      <c r="B33" t="s">
        <v>17</v>
      </c>
      <c r="C33" t="s">
        <v>19</v>
      </c>
      <c r="D33">
        <v>7</v>
      </c>
      <c r="E33">
        <v>0</v>
      </c>
      <c r="F33">
        <v>1</v>
      </c>
      <c r="G33">
        <v>0</v>
      </c>
      <c r="H33">
        <v>2</v>
      </c>
      <c r="I33">
        <v>0</v>
      </c>
      <c r="J33">
        <v>3</v>
      </c>
      <c r="K33">
        <v>0</v>
      </c>
      <c r="L33">
        <v>6</v>
      </c>
      <c r="N33" t="s">
        <v>20</v>
      </c>
      <c r="O33" t="s">
        <v>17</v>
      </c>
      <c r="P33" t="s">
        <v>19</v>
      </c>
      <c r="Q33">
        <f t="shared" si="1"/>
        <v>54</v>
      </c>
      <c r="R33">
        <v>0</v>
      </c>
      <c r="S33">
        <v>6</v>
      </c>
      <c r="T33">
        <v>1</v>
      </c>
      <c r="U33">
        <v>1</v>
      </c>
      <c r="V33">
        <v>8</v>
      </c>
      <c r="W33">
        <v>0</v>
      </c>
      <c r="X33">
        <v>0</v>
      </c>
      <c r="Y33">
        <v>54</v>
      </c>
    </row>
    <row r="34" spans="1:25">
      <c r="A34" t="s">
        <v>20</v>
      </c>
      <c r="B34" t="s">
        <v>18</v>
      </c>
      <c r="C34" t="s">
        <v>19</v>
      </c>
      <c r="D34">
        <v>7</v>
      </c>
      <c r="E34">
        <v>0</v>
      </c>
      <c r="F34">
        <v>3</v>
      </c>
      <c r="G34">
        <v>0</v>
      </c>
      <c r="H34">
        <v>1</v>
      </c>
      <c r="I34">
        <v>0</v>
      </c>
      <c r="J34">
        <v>3</v>
      </c>
      <c r="K34">
        <v>0</v>
      </c>
      <c r="L34">
        <v>7</v>
      </c>
      <c r="N34" t="s">
        <v>20</v>
      </c>
      <c r="O34" t="s">
        <v>18</v>
      </c>
      <c r="P34" t="s">
        <v>19</v>
      </c>
      <c r="Q34">
        <f t="shared" si="1"/>
        <v>54</v>
      </c>
      <c r="R34">
        <v>0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54</v>
      </c>
    </row>
    <row r="35" spans="1:25">
      <c r="A35" t="s">
        <v>21</v>
      </c>
      <c r="B35" t="s">
        <v>15</v>
      </c>
      <c r="C35" t="s">
        <v>16</v>
      </c>
      <c r="D35">
        <v>20</v>
      </c>
      <c r="E35">
        <v>15</v>
      </c>
      <c r="F35">
        <v>5</v>
      </c>
      <c r="G35">
        <v>0</v>
      </c>
      <c r="H35">
        <v>6</v>
      </c>
      <c r="I35">
        <v>1</v>
      </c>
      <c r="J35">
        <v>10</v>
      </c>
      <c r="K35">
        <v>0</v>
      </c>
      <c r="L35">
        <v>37</v>
      </c>
      <c r="N35" t="s">
        <v>21</v>
      </c>
      <c r="O35" t="s">
        <v>15</v>
      </c>
      <c r="P35" t="s">
        <v>16</v>
      </c>
      <c r="Q35">
        <f t="shared" si="1"/>
        <v>206</v>
      </c>
      <c r="R35">
        <v>15</v>
      </c>
      <c r="S35">
        <v>5</v>
      </c>
      <c r="T35">
        <v>0</v>
      </c>
      <c r="U35">
        <v>6</v>
      </c>
      <c r="V35">
        <v>1</v>
      </c>
      <c r="W35">
        <v>10</v>
      </c>
      <c r="X35">
        <v>0</v>
      </c>
      <c r="Y35">
        <f>SUM(R35:W40)</f>
        <v>206</v>
      </c>
    </row>
    <row r="36" spans="1:25">
      <c r="A36" t="s">
        <v>21</v>
      </c>
      <c r="B36" t="s">
        <v>17</v>
      </c>
      <c r="C36" t="s">
        <v>16</v>
      </c>
      <c r="D36">
        <v>20</v>
      </c>
      <c r="E36">
        <v>7</v>
      </c>
      <c r="F36">
        <v>10</v>
      </c>
      <c r="G36">
        <v>0</v>
      </c>
      <c r="H36">
        <v>12</v>
      </c>
      <c r="I36">
        <v>4</v>
      </c>
      <c r="J36">
        <v>17</v>
      </c>
      <c r="K36">
        <v>0</v>
      </c>
      <c r="L36">
        <v>50</v>
      </c>
      <c r="N36" t="s">
        <v>21</v>
      </c>
      <c r="O36" t="s">
        <v>17</v>
      </c>
      <c r="P36" t="s">
        <v>16</v>
      </c>
      <c r="Q36">
        <f t="shared" si="1"/>
        <v>206</v>
      </c>
      <c r="R36">
        <v>7</v>
      </c>
      <c r="S36">
        <v>10</v>
      </c>
      <c r="T36">
        <v>0</v>
      </c>
      <c r="U36">
        <v>12</v>
      </c>
      <c r="V36">
        <v>4</v>
      </c>
      <c r="W36">
        <v>17</v>
      </c>
      <c r="X36">
        <v>0</v>
      </c>
      <c r="Y36">
        <v>206</v>
      </c>
    </row>
    <row r="37" spans="1:25">
      <c r="A37" t="s">
        <v>21</v>
      </c>
      <c r="B37" t="s">
        <v>18</v>
      </c>
      <c r="C37" t="s">
        <v>16</v>
      </c>
      <c r="D37">
        <v>20</v>
      </c>
      <c r="E37">
        <v>7</v>
      </c>
      <c r="F37">
        <v>6</v>
      </c>
      <c r="G37">
        <v>0</v>
      </c>
      <c r="H37">
        <v>14</v>
      </c>
      <c r="I37">
        <v>0</v>
      </c>
      <c r="J37">
        <v>19</v>
      </c>
      <c r="K37">
        <v>0</v>
      </c>
      <c r="L37">
        <v>46</v>
      </c>
      <c r="N37" t="s">
        <v>21</v>
      </c>
      <c r="O37" t="s">
        <v>18</v>
      </c>
      <c r="P37" t="s">
        <v>16</v>
      </c>
      <c r="Q37">
        <f t="shared" si="1"/>
        <v>206</v>
      </c>
      <c r="R37">
        <v>7</v>
      </c>
      <c r="S37">
        <v>6</v>
      </c>
      <c r="T37">
        <v>0</v>
      </c>
      <c r="U37">
        <v>14</v>
      </c>
      <c r="V37">
        <v>0</v>
      </c>
      <c r="W37">
        <v>19</v>
      </c>
      <c r="X37">
        <v>0</v>
      </c>
      <c r="Y37">
        <v>206</v>
      </c>
    </row>
    <row r="38" spans="1:25">
      <c r="A38" t="s">
        <v>21</v>
      </c>
      <c r="B38" t="s">
        <v>15</v>
      </c>
      <c r="C38" t="s">
        <v>19</v>
      </c>
      <c r="D38">
        <v>21</v>
      </c>
      <c r="E38">
        <v>5</v>
      </c>
      <c r="F38">
        <v>11</v>
      </c>
      <c r="G38">
        <v>1</v>
      </c>
      <c r="H38">
        <v>18</v>
      </c>
      <c r="I38">
        <v>2</v>
      </c>
      <c r="J38">
        <v>17</v>
      </c>
      <c r="K38">
        <v>0</v>
      </c>
      <c r="L38">
        <v>54</v>
      </c>
      <c r="N38" t="s">
        <v>21</v>
      </c>
      <c r="O38" t="s">
        <v>15</v>
      </c>
      <c r="P38" t="s">
        <v>19</v>
      </c>
      <c r="Q38">
        <f t="shared" si="1"/>
        <v>206</v>
      </c>
      <c r="R38">
        <v>2</v>
      </c>
      <c r="S38">
        <v>11</v>
      </c>
      <c r="T38">
        <v>0</v>
      </c>
      <c r="U38">
        <v>17</v>
      </c>
      <c r="V38">
        <v>7</v>
      </c>
      <c r="W38">
        <v>0</v>
      </c>
      <c r="X38">
        <v>0</v>
      </c>
      <c r="Y38">
        <v>206</v>
      </c>
    </row>
    <row r="39" spans="1:25">
      <c r="A39" t="s">
        <v>21</v>
      </c>
      <c r="B39" t="s">
        <v>17</v>
      </c>
      <c r="C39" t="s">
        <v>19</v>
      </c>
      <c r="D39">
        <v>20</v>
      </c>
      <c r="E39">
        <v>4</v>
      </c>
      <c r="F39">
        <v>11</v>
      </c>
      <c r="G39">
        <v>0</v>
      </c>
      <c r="H39">
        <v>11</v>
      </c>
      <c r="I39">
        <v>2</v>
      </c>
      <c r="J39">
        <v>13</v>
      </c>
      <c r="K39">
        <v>1</v>
      </c>
      <c r="L39">
        <v>42</v>
      </c>
      <c r="N39" t="s">
        <v>21</v>
      </c>
      <c r="O39" t="s">
        <v>17</v>
      </c>
      <c r="P39" t="s">
        <v>19</v>
      </c>
      <c r="Q39">
        <f t="shared" si="1"/>
        <v>206</v>
      </c>
      <c r="R39">
        <v>2</v>
      </c>
      <c r="S39">
        <v>13</v>
      </c>
      <c r="T39">
        <v>0</v>
      </c>
      <c r="U39">
        <v>2</v>
      </c>
      <c r="V39">
        <v>0</v>
      </c>
      <c r="W39">
        <v>0</v>
      </c>
      <c r="X39">
        <v>0</v>
      </c>
      <c r="Y39">
        <v>206</v>
      </c>
    </row>
    <row r="40" spans="1:25">
      <c r="A40" t="s">
        <v>21</v>
      </c>
      <c r="B40" t="s">
        <v>18</v>
      </c>
      <c r="C40" t="s">
        <v>19</v>
      </c>
      <c r="D40">
        <v>20</v>
      </c>
      <c r="E40">
        <v>8</v>
      </c>
      <c r="F40">
        <v>12</v>
      </c>
      <c r="G40">
        <v>0</v>
      </c>
      <c r="H40">
        <v>15</v>
      </c>
      <c r="I40">
        <v>3</v>
      </c>
      <c r="J40">
        <v>11</v>
      </c>
      <c r="K40">
        <v>0</v>
      </c>
      <c r="L40">
        <v>49</v>
      </c>
      <c r="N40" t="s">
        <v>21</v>
      </c>
      <c r="O40" t="s">
        <v>18</v>
      </c>
      <c r="P40" t="s">
        <v>19</v>
      </c>
      <c r="Q40">
        <f t="shared" si="1"/>
        <v>206</v>
      </c>
      <c r="R40">
        <v>5</v>
      </c>
      <c r="S40">
        <v>5</v>
      </c>
      <c r="T40">
        <v>0</v>
      </c>
      <c r="U40">
        <v>9</v>
      </c>
      <c r="V40">
        <v>0</v>
      </c>
      <c r="W40">
        <v>0</v>
      </c>
      <c r="X40">
        <v>0</v>
      </c>
      <c r="Y40">
        <v>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error_statistics_method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WPS_1661508371</cp:lastModifiedBy>
  <dcterms:created xsi:type="dcterms:W3CDTF">2026-03-12T00:13:20Z</dcterms:created>
  <dcterms:modified xsi:type="dcterms:W3CDTF">2026-03-12T00:59:17Z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CD641E8993A64F3CA903679A88A255CE_13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